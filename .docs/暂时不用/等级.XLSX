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D:\GitHub\TouHouLittleMaidBE\Docs\"/>
    </mc:Choice>
  </mc:AlternateContent>
  <xr:revisionPtr revIDLastSave="0" documentId="13_ncr:1_{C4532C36-1D66-41D6-8442-E8730B32D4D7}" xr6:coauthVersionLast="47" xr6:coauthVersionMax="47" xr10:uidLastSave="{00000000-0000-0000-0000-000000000000}"/>
  <bookViews>
    <workbookView xWindow="3960" yWindow="5025" windowWidth="20850" windowHeight="10455" xr2:uid="{00000000-000D-0000-FFFF-FFFF00000000}"/>
  </bookViews>
  <sheets>
    <sheet name="第二版" sheetId="4" r:id="rId1"/>
    <sheet name="伤害统计" sheetId="2" r:id="rId2"/>
    <sheet name="战斗力" sheetId="3" r:id="rId3"/>
    <sheet name="第一版" sheetId="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3" i="2"/>
</calcChain>
</file>

<file path=xl/sharedStrings.xml><?xml version="1.0" encoding="utf-8"?>
<sst xmlns="http://schemas.openxmlformats.org/spreadsheetml/2006/main" count="164" uniqueCount="109">
  <si>
    <t>血量</t>
    <phoneticPr fontId="1" type="noConversion"/>
  </si>
  <si>
    <t>等级</t>
    <phoneticPr fontId="1" type="noConversion"/>
  </si>
  <si>
    <t>回复量</t>
    <phoneticPr fontId="1" type="noConversion"/>
  </si>
  <si>
    <t>2~5</t>
    <phoneticPr fontId="1" type="noConversion"/>
  </si>
  <si>
    <t>近战攻击力</t>
    <phoneticPr fontId="1" type="noConversion"/>
  </si>
  <si>
    <t>弹幕攻击力</t>
    <phoneticPr fontId="1" type="noConversion"/>
  </si>
  <si>
    <t>免伤</t>
    <phoneticPr fontId="1" type="noConversion"/>
  </si>
  <si>
    <t>速度</t>
    <phoneticPr fontId="1" type="noConversion"/>
  </si>
  <si>
    <t>技能</t>
    <phoneticPr fontId="1" type="noConversion"/>
  </si>
  <si>
    <t>无</t>
    <phoneticPr fontId="1" type="noConversion"/>
  </si>
  <si>
    <t>玩家步行速度：0.1
玩家空手伤害：1
满饱食度血量回复速度：
锋利五下界合金剑伤害：
锋利五三叉戟伤害：
力量五弓伤害：
保护4下界合金甲免伤：</t>
    <phoneticPr fontId="1" type="noConversion"/>
  </si>
  <si>
    <t>困难模式僵尸一拳：
困难模式骷髅一箭：
困难模式凋零一头：</t>
    <phoneticPr fontId="1" type="noConversion"/>
  </si>
  <si>
    <t>种地速度</t>
    <phoneticPr fontId="1" type="noConversion"/>
  </si>
  <si>
    <t>5-2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</si>
  <si>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</si>
  <si>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</si>
  <si>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</si>
  <si>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</si>
  <si>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</si>
  <si>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12</t>
    <phoneticPr fontId="1" type="noConversion"/>
  </si>
  <si>
    <t>1级可对抗2只无甲僵尸
10级
15级可单刷凋零，需要消耗大量资源
20级可单刷循声守卫，需要消耗海量资源，极难达成
经验值的获取是个问题
种地速度表示方法：[每次搜索的方块数量]-[搜索的冷却事件]</t>
    <phoneticPr fontId="1" type="noConversion"/>
  </si>
  <si>
    <t>铁傀儡</t>
    <phoneticPr fontId="1" type="noConversion"/>
  </si>
  <si>
    <t>DPH</t>
    <phoneticPr fontId="1" type="noConversion"/>
  </si>
  <si>
    <t>DPS</t>
    <phoneticPr fontId="1" type="noConversion"/>
  </si>
  <si>
    <t>Hit</t>
    <phoneticPr fontId="1" type="noConversion"/>
  </si>
  <si>
    <t>铁傀儡（困难）</t>
    <phoneticPr fontId="1" type="noConversion"/>
  </si>
  <si>
    <t>MAX</t>
    <phoneticPr fontId="1" type="noConversion"/>
  </si>
  <si>
    <t>MIN</t>
    <phoneticPr fontId="1" type="noConversion"/>
  </si>
  <si>
    <t>攻击者</t>
    <phoneticPr fontId="1" type="noConversion"/>
  </si>
  <si>
    <t>无甲玩家</t>
    <phoneticPr fontId="1" type="noConversion"/>
  </si>
  <si>
    <t>防御者</t>
    <phoneticPr fontId="1" type="noConversion"/>
  </si>
  <si>
    <t>僵尸（困难）</t>
    <phoneticPr fontId="1" type="noConversion"/>
  </si>
  <si>
    <t>骷髅（困难）</t>
    <phoneticPr fontId="1" type="noConversion"/>
  </si>
  <si>
    <t>循声守卫（困难）</t>
    <phoneticPr fontId="1" type="noConversion"/>
  </si>
  <si>
    <t>顶甲玩家</t>
    <phoneticPr fontId="1" type="noConversion"/>
  </si>
  <si>
    <t>实验将被测生物与玩家关在极小空间内，保证每次攻击后玩家仍然处于被测生物的攻击范围内
PS：顶甲=全套保护4下界合金甲</t>
    <phoneticPr fontId="1" type="noConversion"/>
  </si>
  <si>
    <t>循声守卫（困难 远攻）</t>
    <phoneticPr fontId="1" type="noConversion"/>
  </si>
  <si>
    <t>玩家</t>
    <phoneticPr fontId="1" type="noConversion"/>
  </si>
  <si>
    <t>凋灵（困难 一阶段）</t>
    <phoneticPr fontId="1" type="noConversion"/>
  </si>
  <si>
    <t>凋零伤害也计算了</t>
    <phoneticPr fontId="1" type="noConversion"/>
  </si>
  <si>
    <t>凋灵（困难 二阶段）</t>
    <phoneticPr fontId="1" type="noConversion"/>
  </si>
  <si>
    <t>HPS</t>
    <phoneticPr fontId="1" type="noConversion"/>
  </si>
  <si>
    <t>凋零伤害也计算了，如有需要应重测</t>
    <phoneticPr fontId="1" type="noConversion"/>
  </si>
  <si>
    <t>备注</t>
    <phoneticPr fontId="1" type="noConversion"/>
  </si>
  <si>
    <t>循声守卫</t>
    <phoneticPr fontId="1" type="noConversion"/>
  </si>
  <si>
    <t>3僵尸</t>
    <phoneticPr fontId="1" type="noConversion"/>
  </si>
  <si>
    <t>战斗力</t>
    <phoneticPr fontId="1" type="noConversion"/>
  </si>
  <si>
    <t>6僵尸</t>
    <phoneticPr fontId="1" type="noConversion"/>
  </si>
  <si>
    <t>单杀极限</t>
    <phoneticPr fontId="1" type="noConversion"/>
  </si>
  <si>
    <t>10僵尸</t>
    <phoneticPr fontId="1" type="noConversion"/>
  </si>
  <si>
    <t>凋灵（一阶段）</t>
    <phoneticPr fontId="1" type="noConversion"/>
  </si>
  <si>
    <t>1铁傀儡</t>
    <phoneticPr fontId="1" type="noConversion"/>
  </si>
  <si>
    <t>凋灵（二阶段）</t>
    <phoneticPr fontId="1" type="noConversion"/>
  </si>
  <si>
    <t>凋灵（一阶段爆炸）</t>
    <phoneticPr fontId="1" type="noConversion"/>
  </si>
  <si>
    <t>凋灵（最后爆炸）</t>
    <phoneticPr fontId="1" type="noConversion"/>
  </si>
  <si>
    <t>凋灵（出生爆炸）</t>
    <phoneticPr fontId="1" type="noConversion"/>
  </si>
  <si>
    <t>2铁傀儡</t>
    <phoneticPr fontId="1" type="noConversion"/>
  </si>
  <si>
    <t>2凋灵（无出生爆炸）</t>
    <phoneticPr fontId="1" type="noConversion"/>
  </si>
  <si>
    <t>初始</t>
    <phoneticPr fontId="1" type="noConversion"/>
  </si>
  <si>
    <t>进阶条件</t>
    <phoneticPr fontId="1" type="noConversion"/>
  </si>
  <si>
    <t>极难到达的境界</t>
    <phoneticPr fontId="1" type="noConversion"/>
  </si>
  <si>
    <t>较难到达的境界</t>
    <phoneticPr fontId="1" type="noConversion"/>
  </si>
  <si>
    <t>比较稀有的境界</t>
    <phoneticPr fontId="1" type="noConversion"/>
  </si>
  <si>
    <t>很容易到达的境界</t>
    <phoneticPr fontId="1" type="noConversion"/>
  </si>
  <si>
    <t>遗迹中的战利品</t>
    <phoneticPr fontId="1" type="noConversion"/>
  </si>
  <si>
    <t>可合成的物品（随机）</t>
    <phoneticPr fontId="1" type="noConversion"/>
  </si>
  <si>
    <t>boss战2（赫赛德 | 凹总力战的毅力！）</t>
    <phoneticPr fontId="1" type="noConversion"/>
  </si>
  <si>
    <t>boss战1（幽幽子 | 亡灵的力量！）</t>
    <phoneticPr fontId="1" type="noConversion"/>
  </si>
  <si>
    <t>0.4</t>
    <phoneticPr fontId="1" type="noConversion"/>
  </si>
  <si>
    <t>10%</t>
    <phoneticPr fontId="1" type="noConversion"/>
  </si>
  <si>
    <t>12-2</t>
    <phoneticPr fontId="1" type="noConversion"/>
  </si>
  <si>
    <t>60</t>
    <phoneticPr fontId="1" type="noConversion"/>
  </si>
  <si>
    <t>0.35</t>
    <phoneticPr fontId="1" type="noConversion"/>
  </si>
  <si>
    <t>8-2</t>
    <phoneticPr fontId="1" type="noConversion"/>
  </si>
  <si>
    <t>弹幕攻击间隔</t>
    <phoneticPr fontId="1" type="noConversion"/>
  </si>
  <si>
    <t>3s</t>
    <phoneticPr fontId="1" type="noConversion"/>
  </si>
  <si>
    <t>20%</t>
    <phoneticPr fontId="1" type="noConversion"/>
  </si>
  <si>
    <t>击退抗性</t>
    <phoneticPr fontId="1" type="noConversion"/>
  </si>
  <si>
    <t>0.1</t>
    <phoneticPr fontId="1" type="noConversion"/>
  </si>
  <si>
    <t>0.2</t>
    <phoneticPr fontId="1" type="noConversion"/>
  </si>
  <si>
    <t>2循声守卫</t>
    <phoneticPr fontId="1" type="noConversion"/>
  </si>
  <si>
    <t>3~6</t>
    <phoneticPr fontId="1" type="noConversion"/>
  </si>
  <si>
    <t>5~8</t>
    <phoneticPr fontId="1" type="noConversion"/>
  </si>
  <si>
    <t>10</t>
    <phoneticPr fontId="1" type="noConversion"/>
  </si>
  <si>
    <t>16</t>
    <phoneticPr fontId="1" type="noConversion"/>
  </si>
  <si>
    <t>15</t>
    <phoneticPr fontId="1" type="noConversion"/>
  </si>
  <si>
    <t>80</t>
    <phoneticPr fontId="1" type="noConversion"/>
  </si>
  <si>
    <t>35%</t>
    <phoneticPr fontId="1" type="noConversion"/>
  </si>
  <si>
    <t>55%</t>
    <phoneticPr fontId="1" type="noConversion"/>
  </si>
  <si>
    <t>0.32</t>
    <phoneticPr fontId="1" type="noConversion"/>
  </si>
  <si>
    <t>1凋零(5铁傀儡)</t>
    <phoneticPr fontId="1" type="noConversion"/>
  </si>
  <si>
    <t>1循声守卫(2凋灵)</t>
    <phoneticPr fontId="1" type="noConversion"/>
  </si>
  <si>
    <t>1+铁傀儡</t>
    <phoneticPr fontId="1" type="noConversion"/>
  </si>
  <si>
    <t>24</t>
    <phoneticPr fontId="1" type="noConversion"/>
  </si>
  <si>
    <t>boss战3（Doge | 动物园）</t>
    <phoneticPr fontId="1" type="noConversion"/>
  </si>
  <si>
    <t>提高了1级的战斗力，比第一版的2级战斗力略高一些，但是没有达到一个铁傀儡的战力，一是不止有战斗的技能，二是可以回血，即使短时间战斗力低一些，综合能力也是不若于铁傀儡的。</t>
    <phoneticPr fontId="1" type="noConversion"/>
  </si>
  <si>
    <t>64</t>
    <phoneticPr fontId="1" type="noConversion"/>
  </si>
  <si>
    <t>1.5铁傀儡</t>
    <phoneticPr fontId="1" type="noConversion"/>
  </si>
  <si>
    <t>8僵尸</t>
    <phoneticPr fontId="1" type="noConversion"/>
  </si>
  <si>
    <t xml:space="preserve">1级可对抗2只无甲僵尸
10级
15级可单刷凋零，需要消耗大量资源
20级可单刷循声守卫，需要消耗海量资源，极难达成
经验值的获取是个问题
</t>
    <phoneticPr fontId="1" type="noConversion"/>
  </si>
  <si>
    <t>战斗力指封闭小房间内，单人击杀的极限
种地速度表示方法：[每次搜索的方块数量]-[搜索的冷却时间]</t>
    <phoneticPr fontId="1" type="noConversion"/>
  </si>
  <si>
    <t>神秘尘、樱之御币、200击杀</t>
    <phoneticPr fontId="1" type="noConversion"/>
  </si>
  <si>
    <t>近战攻速</t>
    <phoneticPr fontId="1" type="noConversion"/>
  </si>
  <si>
    <t>0.7</t>
    <phoneticPr fontId="1" type="noConversion"/>
  </si>
  <si>
    <t>0.8</t>
    <phoneticPr fontId="1" type="noConversion"/>
  </si>
  <si>
    <t>战斗力指开放的平坦空间内，单人击杀的极限
近战攻速指攻击间隔的秒数
种地速度表示方法：[每次搜索的方块数量]-[搜索的冷却时间]</t>
    <phoneticPr fontId="1" type="noConversion"/>
  </si>
  <si>
    <t>70</t>
    <phoneticPr fontId="1" type="noConversion"/>
  </si>
  <si>
    <t>0.25</t>
    <phoneticPr fontId="1" type="noConversion"/>
  </si>
  <si>
    <t>0.30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</si>
</sst>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>
      <alignment vertical="center"/>
    </xf>
  </cellStyleXfs>
  <cellXfs count="3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left" vertical="top" indent="1"/>
    </xf>
    <xf numFmtId="49" fontId="0" fillId="2" borderId="1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2" fillId="3" borderId="1" xfId="1" applyNumberFormat="1" applyBorder="1" applyAlignment="1">
      <alignment horizontal="center"/>
    </xf>
    <xf numFmtId="0" fontId="0" fillId="0" borderId="0" xfId="0" applyAlignment="1">
      <alignment horizontal="left" vertical="top" wrapText="1"/>
    </xf>
    <xf numFmtId="49" fontId="2" fillId="3" borderId="1" xfId="1" applyNumberForma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49" fontId="0" fillId="2" borderId="6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left" vertical="top" indent="1"/>
    </xf>
    <xf numFmtId="0" fontId="0" fillId="0" borderId="10" xfId="0" applyBorder="1" applyAlignment="1">
      <alignment horizontal="left" vertical="top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/>
    </xf>
    <xf numFmtId="49" fontId="0" fillId="2" borderId="6" xfId="0" applyNumberForma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left" vertical="top" wrapText="1" inden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</cellXfs>
  <cellStyles count="2">
    <cellStyle name="20% - 着色 1" xfId="1" builtinId="30"/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1957-1F72-475A-95C7-FF86483379F4}">
  <dimension ref="A1:AA15"/>
  <sheetViews>
    <sheetView tabSelected="1" workbookViewId="0">
      <selection activeCell="K6" sqref="K6"/>
    </sheetView>
  </sheetViews>
  <sheetFormatPr defaultRowHeight="14.25" x14ac:dyDescent="0.2"/>
  <cols>
    <col min="1" max="2" width="5.25" bestFit="1" customWidth="1"/>
    <col min="3" max="3" width="7.125" bestFit="1" customWidth="1"/>
    <col min="4" max="4" width="9" bestFit="1" customWidth="1"/>
    <col min="5" max="5" width="11" bestFit="1" customWidth="1"/>
    <col min="6" max="6" width="11" customWidth="1"/>
    <col min="7" max="7" width="11" bestFit="1" customWidth="1"/>
    <col min="8" max="8" width="13" bestFit="1" customWidth="1"/>
    <col min="11" max="11" width="5.25" bestFit="1" customWidth="1"/>
    <col min="13" max="13" width="16.375" bestFit="1" customWidth="1"/>
    <col min="14" max="14" width="17.25" bestFit="1" customWidth="1"/>
    <col min="15" max="15" width="16.375" style="13" customWidth="1"/>
  </cols>
  <sheetData>
    <row r="1" spans="1:27" ht="46.5" customHeight="1" x14ac:dyDescent="0.2">
      <c r="A1" s="19" t="s">
        <v>95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27" ht="54.75" customHeight="1" x14ac:dyDescent="0.2">
      <c r="A2" s="20" t="s">
        <v>105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2"/>
      <c r="N2" s="6"/>
      <c r="O2" s="10"/>
    </row>
    <row r="3" spans="1:27" ht="14.25" customHeight="1" x14ac:dyDescent="0.2">
      <c r="A3" s="14" t="s">
        <v>1</v>
      </c>
      <c r="B3" s="14" t="s">
        <v>0</v>
      </c>
      <c r="C3" s="14" t="s">
        <v>2</v>
      </c>
      <c r="D3" s="14" t="s">
        <v>77</v>
      </c>
      <c r="E3" s="14" t="s">
        <v>4</v>
      </c>
      <c r="F3" s="14" t="s">
        <v>102</v>
      </c>
      <c r="G3" s="14" t="s">
        <v>5</v>
      </c>
      <c r="H3" s="14" t="s">
        <v>74</v>
      </c>
      <c r="I3" s="14" t="s">
        <v>6</v>
      </c>
      <c r="J3" s="14" t="s">
        <v>7</v>
      </c>
      <c r="K3" s="14" t="s">
        <v>8</v>
      </c>
      <c r="L3" s="14" t="s">
        <v>12</v>
      </c>
      <c r="M3" s="14" t="s">
        <v>46</v>
      </c>
      <c r="N3" s="14" t="s">
        <v>43</v>
      </c>
      <c r="O3" s="14" t="s">
        <v>59</v>
      </c>
      <c r="P3" s="23" t="s">
        <v>10</v>
      </c>
      <c r="Q3" s="24"/>
      <c r="R3" s="24"/>
      <c r="S3" s="24"/>
      <c r="T3" s="19" t="s">
        <v>11</v>
      </c>
      <c r="U3" s="27"/>
      <c r="V3" s="27"/>
      <c r="W3" s="27"/>
      <c r="X3" s="19" t="s">
        <v>20</v>
      </c>
      <c r="Y3" s="27"/>
      <c r="Z3" s="27"/>
      <c r="AA3" s="27"/>
    </row>
    <row r="4" spans="1:27" ht="28.5" x14ac:dyDescent="0.2">
      <c r="A4" s="11">
        <v>1</v>
      </c>
      <c r="B4" s="11" t="s">
        <v>96</v>
      </c>
      <c r="C4" s="11" t="s">
        <v>81</v>
      </c>
      <c r="D4" s="11" t="s">
        <v>78</v>
      </c>
      <c r="E4" s="11" t="s">
        <v>19</v>
      </c>
      <c r="F4" s="11" t="s">
        <v>104</v>
      </c>
      <c r="G4" s="11" t="s">
        <v>85</v>
      </c>
      <c r="H4" s="11" t="s">
        <v>75</v>
      </c>
      <c r="I4" s="11" t="s">
        <v>69</v>
      </c>
      <c r="J4" s="11" t="s">
        <v>107</v>
      </c>
      <c r="K4" s="11" t="s">
        <v>9</v>
      </c>
      <c r="L4" s="11" t="s">
        <v>13</v>
      </c>
      <c r="M4" s="11" t="s">
        <v>98</v>
      </c>
      <c r="N4" s="11" t="s">
        <v>58</v>
      </c>
      <c r="O4" s="11" t="s">
        <v>101</v>
      </c>
      <c r="P4" s="25"/>
      <c r="Q4" s="26"/>
      <c r="R4" s="26"/>
      <c r="S4" s="26"/>
      <c r="T4" s="27"/>
      <c r="U4" s="27"/>
      <c r="V4" s="27"/>
      <c r="W4" s="27"/>
      <c r="X4" s="27"/>
      <c r="Y4" s="27"/>
      <c r="Z4" s="27"/>
      <c r="AA4" s="27"/>
    </row>
    <row r="5" spans="1:27" s="12" customFormat="1" x14ac:dyDescent="0.2">
      <c r="A5" s="11" t="s">
        <v>14</v>
      </c>
      <c r="B5" s="11" t="s">
        <v>106</v>
      </c>
      <c r="C5" s="11" t="s">
        <v>82</v>
      </c>
      <c r="D5" s="11" t="s">
        <v>79</v>
      </c>
      <c r="E5" s="11" t="s">
        <v>84</v>
      </c>
      <c r="F5" s="11" t="s">
        <v>103</v>
      </c>
      <c r="G5" s="11" t="s">
        <v>93</v>
      </c>
      <c r="H5" s="11" t="s">
        <v>75</v>
      </c>
      <c r="I5" s="11" t="s">
        <v>76</v>
      </c>
      <c r="J5" s="11" t="s">
        <v>108</v>
      </c>
      <c r="K5" s="11"/>
      <c r="L5" s="11" t="s">
        <v>73</v>
      </c>
      <c r="M5" s="11" t="s">
        <v>97</v>
      </c>
      <c r="N5" s="11" t="s">
        <v>63</v>
      </c>
      <c r="O5" s="14"/>
      <c r="P5" s="25"/>
      <c r="Q5" s="26"/>
      <c r="R5" s="26"/>
      <c r="S5" s="26"/>
      <c r="T5" s="27"/>
      <c r="U5" s="27"/>
      <c r="V5" s="27"/>
      <c r="W5" s="27"/>
      <c r="X5" s="27"/>
      <c r="Y5" s="27"/>
      <c r="Z5" s="27"/>
      <c r="AA5" s="27"/>
    </row>
    <row r="6" spans="1:27" x14ac:dyDescent="0.2">
      <c r="A6" s="14" t="s">
        <v>15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4" t="s">
        <v>62</v>
      </c>
      <c r="O6" s="16"/>
      <c r="P6" s="25"/>
      <c r="Q6" s="26"/>
      <c r="R6" s="26"/>
      <c r="S6" s="26"/>
      <c r="T6" s="27"/>
      <c r="U6" s="27"/>
      <c r="V6" s="27"/>
      <c r="W6" s="27"/>
      <c r="X6" s="27"/>
      <c r="Y6" s="27"/>
      <c r="Z6" s="27"/>
      <c r="AA6" s="27"/>
    </row>
    <row r="7" spans="1:27" x14ac:dyDescent="0.2">
      <c r="A7" s="16" t="s">
        <v>16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8"/>
      <c r="N7" s="28" t="s">
        <v>61</v>
      </c>
      <c r="O7" s="16"/>
      <c r="P7" s="25"/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</row>
    <row r="8" spans="1:27" x14ac:dyDescent="0.2">
      <c r="A8" s="16" t="s">
        <v>17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29"/>
      <c r="O8" s="16"/>
      <c r="P8" s="25"/>
      <c r="Q8" s="26"/>
      <c r="R8" s="26"/>
      <c r="S8" s="26"/>
      <c r="T8" s="27"/>
      <c r="U8" s="27"/>
      <c r="V8" s="27"/>
      <c r="W8" s="27"/>
      <c r="X8" s="27"/>
      <c r="Y8" s="27"/>
      <c r="Z8" s="27"/>
      <c r="AA8" s="27"/>
    </row>
    <row r="9" spans="1:27" x14ac:dyDescent="0.2">
      <c r="A9" s="16" t="s">
        <v>18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8"/>
      <c r="N9" s="16" t="s">
        <v>60</v>
      </c>
      <c r="O9" s="16"/>
      <c r="P9" s="25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</row>
    <row r="10" spans="1:27" x14ac:dyDescent="0.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25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</row>
    <row r="11" spans="1:27" x14ac:dyDescent="0.2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25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</row>
    <row r="12" spans="1:27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25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</row>
    <row r="13" spans="1:27" x14ac:dyDescent="0.2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25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</row>
    <row r="14" spans="1:27" x14ac:dyDescent="0.2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25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</row>
    <row r="15" spans="1:27" x14ac:dyDescent="0.2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25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</row>
  </sheetData>
  <mergeCells count="6">
    <mergeCell ref="A1:M1"/>
    <mergeCell ref="A2:M2"/>
    <mergeCell ref="P3:S15"/>
    <mergeCell ref="T3:W15"/>
    <mergeCell ref="X3:AA15"/>
    <mergeCell ref="N7:N8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E-F3C3-4D55-B2BF-7A8220C1BF45}">
  <dimension ref="A1:I13"/>
  <sheetViews>
    <sheetView workbookViewId="0">
      <selection sqref="A1:I13"/>
    </sheetView>
  </sheetViews>
  <sheetFormatPr defaultRowHeight="14.25" x14ac:dyDescent="0.2"/>
  <cols>
    <col min="1" max="1" width="21.875" bestFit="1" customWidth="1"/>
    <col min="2" max="2" width="10.875" customWidth="1"/>
    <col min="9" max="9" width="33.875" bestFit="1" customWidth="1"/>
  </cols>
  <sheetData>
    <row r="1" spans="1:9" ht="40.5" customHeight="1" x14ac:dyDescent="0.2">
      <c r="A1" s="30" t="s">
        <v>35</v>
      </c>
      <c r="B1" s="30"/>
      <c r="C1" s="30"/>
      <c r="D1" s="30"/>
      <c r="E1" s="30"/>
      <c r="F1" s="30"/>
      <c r="G1" s="30"/>
      <c r="H1" s="30"/>
      <c r="I1" s="30"/>
    </row>
    <row r="2" spans="1:9" x14ac:dyDescent="0.2">
      <c r="A2" s="2" t="s">
        <v>28</v>
      </c>
      <c r="B2" s="2" t="s">
        <v>30</v>
      </c>
      <c r="C2" s="3" t="s">
        <v>24</v>
      </c>
      <c r="D2" s="3" t="s">
        <v>27</v>
      </c>
      <c r="E2" s="3" t="s">
        <v>26</v>
      </c>
      <c r="F2" s="3" t="s">
        <v>22</v>
      </c>
      <c r="G2" s="3" t="s">
        <v>23</v>
      </c>
      <c r="H2" s="3" t="s">
        <v>41</v>
      </c>
      <c r="I2" s="3" t="s">
        <v>43</v>
      </c>
    </row>
    <row r="3" spans="1:9" x14ac:dyDescent="0.2">
      <c r="A3" s="2" t="s">
        <v>31</v>
      </c>
      <c r="B3" s="2" t="s">
        <v>29</v>
      </c>
      <c r="C3" s="3">
        <v>242</v>
      </c>
      <c r="D3" s="3">
        <v>4.5</v>
      </c>
      <c r="E3" s="3">
        <v>4.5</v>
      </c>
      <c r="F3" s="3">
        <v>4.5</v>
      </c>
      <c r="G3" s="3">
        <v>3.35</v>
      </c>
      <c r="H3" s="4">
        <f>G3/F3</f>
        <v>0.74444444444444446</v>
      </c>
      <c r="I3" s="5"/>
    </row>
    <row r="4" spans="1:9" x14ac:dyDescent="0.2">
      <c r="A4" s="2" t="s">
        <v>32</v>
      </c>
      <c r="B4" s="2" t="s">
        <v>29</v>
      </c>
      <c r="C4" s="3">
        <v>209</v>
      </c>
      <c r="D4" s="3">
        <v>1</v>
      </c>
      <c r="E4" s="3">
        <v>4.99</v>
      </c>
      <c r="F4" s="3">
        <v>3.08</v>
      </c>
      <c r="G4" s="3">
        <v>2.58</v>
      </c>
      <c r="H4" s="4">
        <f t="shared" ref="H4:H10" si="0">G4/F4</f>
        <v>0.83766233766233766</v>
      </c>
      <c r="I4" s="5"/>
    </row>
    <row r="5" spans="1:9" x14ac:dyDescent="0.2">
      <c r="A5" s="2" t="s">
        <v>25</v>
      </c>
      <c r="B5" s="2" t="s">
        <v>29</v>
      </c>
      <c r="C5" s="3">
        <v>434</v>
      </c>
      <c r="D5" s="3">
        <v>10.5</v>
      </c>
      <c r="E5" s="3">
        <v>31.5</v>
      </c>
      <c r="F5" s="3">
        <v>21.6</v>
      </c>
      <c r="G5" s="3">
        <v>21.65</v>
      </c>
      <c r="H5" s="4">
        <f t="shared" si="0"/>
        <v>1.0023148148148147</v>
      </c>
      <c r="I5" s="5"/>
    </row>
    <row r="6" spans="1:9" x14ac:dyDescent="0.2">
      <c r="A6" s="2" t="s">
        <v>33</v>
      </c>
      <c r="B6" s="2" t="s">
        <v>29</v>
      </c>
      <c r="C6" s="3">
        <v>208</v>
      </c>
      <c r="D6" s="3">
        <v>45</v>
      </c>
      <c r="E6" s="3">
        <v>45</v>
      </c>
      <c r="F6" s="3">
        <v>45</v>
      </c>
      <c r="G6" s="3">
        <v>45.22</v>
      </c>
      <c r="H6" s="4">
        <f t="shared" si="0"/>
        <v>1.0048888888888889</v>
      </c>
      <c r="I6" s="5"/>
    </row>
    <row r="7" spans="1:9" x14ac:dyDescent="0.2">
      <c r="A7" s="2" t="s">
        <v>33</v>
      </c>
      <c r="B7" s="2" t="s">
        <v>34</v>
      </c>
      <c r="C7" s="3">
        <v>169</v>
      </c>
      <c r="D7" s="3">
        <v>9.07</v>
      </c>
      <c r="E7" s="3">
        <v>9.07</v>
      </c>
      <c r="F7" s="3">
        <v>9.07</v>
      </c>
      <c r="G7" s="3">
        <v>9.1300000000000008</v>
      </c>
      <c r="H7" s="4">
        <f t="shared" si="0"/>
        <v>1.0066152149944874</v>
      </c>
      <c r="I7" s="5"/>
    </row>
    <row r="8" spans="1:9" x14ac:dyDescent="0.2">
      <c r="A8" s="2" t="s">
        <v>36</v>
      </c>
      <c r="B8" s="2" t="s">
        <v>37</v>
      </c>
      <c r="C8" s="3">
        <v>38</v>
      </c>
      <c r="D8" s="3">
        <v>15</v>
      </c>
      <c r="E8" s="3">
        <v>15</v>
      </c>
      <c r="F8" s="3">
        <v>15</v>
      </c>
      <c r="G8" s="3">
        <v>3.02</v>
      </c>
      <c r="H8" s="4">
        <f t="shared" si="0"/>
        <v>0.20133333333333334</v>
      </c>
      <c r="I8" s="5"/>
    </row>
    <row r="9" spans="1:9" x14ac:dyDescent="0.2">
      <c r="A9" s="2" t="s">
        <v>38</v>
      </c>
      <c r="B9" s="2" t="s">
        <v>29</v>
      </c>
      <c r="C9" s="3">
        <v>2862</v>
      </c>
      <c r="D9" s="3">
        <v>0.5</v>
      </c>
      <c r="E9" s="3">
        <v>10.76</v>
      </c>
      <c r="F9" s="3">
        <v>1.4</v>
      </c>
      <c r="G9" s="3">
        <v>2.2599999999999998</v>
      </c>
      <c r="H9" s="4">
        <f t="shared" si="0"/>
        <v>1.6142857142857143</v>
      </c>
      <c r="I9" s="5" t="s">
        <v>42</v>
      </c>
    </row>
    <row r="10" spans="1:9" x14ac:dyDescent="0.2">
      <c r="A10" s="2" t="s">
        <v>40</v>
      </c>
      <c r="B10" s="2" t="s">
        <v>29</v>
      </c>
      <c r="C10" s="3">
        <v>900</v>
      </c>
      <c r="D10" s="3">
        <v>0.5</v>
      </c>
      <c r="E10" s="3">
        <v>22.5</v>
      </c>
      <c r="F10" s="3">
        <v>2.1</v>
      </c>
      <c r="G10" s="3">
        <v>3.22</v>
      </c>
      <c r="H10" s="4">
        <f t="shared" si="0"/>
        <v>1.5333333333333334</v>
      </c>
      <c r="I10" s="5" t="s">
        <v>39</v>
      </c>
    </row>
    <row r="11" spans="1:9" x14ac:dyDescent="0.2">
      <c r="A11" s="2" t="s">
        <v>55</v>
      </c>
      <c r="B11" s="2" t="s">
        <v>29</v>
      </c>
      <c r="C11" s="3">
        <v>1</v>
      </c>
      <c r="D11" s="31">
        <v>148.5</v>
      </c>
      <c r="E11" s="31"/>
      <c r="F11" s="31"/>
      <c r="G11" s="31"/>
      <c r="H11" s="31"/>
      <c r="I11" s="5"/>
    </row>
    <row r="12" spans="1:9" x14ac:dyDescent="0.2">
      <c r="A12" s="2" t="s">
        <v>53</v>
      </c>
      <c r="B12" s="2" t="s">
        <v>29</v>
      </c>
      <c r="C12" s="3">
        <v>1</v>
      </c>
      <c r="D12" s="31">
        <v>134</v>
      </c>
      <c r="E12" s="31"/>
      <c r="F12" s="31"/>
      <c r="G12" s="31"/>
      <c r="H12" s="31"/>
      <c r="I12" s="5"/>
    </row>
    <row r="13" spans="1:9" x14ac:dyDescent="0.2">
      <c r="A13" s="2" t="s">
        <v>54</v>
      </c>
      <c r="B13" s="2" t="s">
        <v>29</v>
      </c>
      <c r="C13" s="2">
        <v>1</v>
      </c>
      <c r="D13" s="31">
        <v>118</v>
      </c>
      <c r="E13" s="31"/>
      <c r="F13" s="31"/>
      <c r="G13" s="31"/>
      <c r="H13" s="31"/>
      <c r="I13" s="5"/>
    </row>
  </sheetData>
  <mergeCells count="4">
    <mergeCell ref="A1:I1"/>
    <mergeCell ref="D12:H12"/>
    <mergeCell ref="D13:H13"/>
    <mergeCell ref="D11:H11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D8667-A7DC-430D-8687-1FA31E134A10}">
  <dimension ref="A1:B5"/>
  <sheetViews>
    <sheetView workbookViewId="0">
      <selection activeCell="B5" sqref="A1:B5"/>
    </sheetView>
  </sheetViews>
  <sheetFormatPr defaultRowHeight="14.25" x14ac:dyDescent="0.2"/>
  <cols>
    <col min="1" max="1" width="15.125" bestFit="1" customWidth="1"/>
    <col min="2" max="2" width="20.375" bestFit="1" customWidth="1"/>
  </cols>
  <sheetData>
    <row r="1" spans="1:2" x14ac:dyDescent="0.2">
      <c r="A1" s="5"/>
      <c r="B1" s="5" t="s">
        <v>48</v>
      </c>
    </row>
    <row r="2" spans="1:2" x14ac:dyDescent="0.2">
      <c r="A2" s="5" t="s">
        <v>21</v>
      </c>
      <c r="B2" s="5" t="s">
        <v>49</v>
      </c>
    </row>
    <row r="3" spans="1:2" x14ac:dyDescent="0.2">
      <c r="A3" s="5" t="s">
        <v>50</v>
      </c>
      <c r="B3" s="5" t="s">
        <v>51</v>
      </c>
    </row>
    <row r="4" spans="1:2" x14ac:dyDescent="0.2">
      <c r="A4" s="5" t="s">
        <v>52</v>
      </c>
      <c r="B4" s="5" t="s">
        <v>56</v>
      </c>
    </row>
    <row r="5" spans="1:2" x14ac:dyDescent="0.2">
      <c r="A5" s="5" t="s">
        <v>44</v>
      </c>
      <c r="B5" s="5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"/>
  <sheetViews>
    <sheetView workbookViewId="0">
      <selection sqref="A1:L1"/>
    </sheetView>
  </sheetViews>
  <sheetFormatPr defaultRowHeight="14.25" x14ac:dyDescent="0.2"/>
  <cols>
    <col min="1" max="2" width="5.25" bestFit="1" customWidth="1"/>
    <col min="3" max="3" width="7.125" bestFit="1" customWidth="1"/>
    <col min="4" max="4" width="9" bestFit="1" customWidth="1"/>
    <col min="5" max="6" width="11" bestFit="1" customWidth="1"/>
    <col min="7" max="7" width="13" bestFit="1" customWidth="1"/>
    <col min="12" max="12" width="16.375" bestFit="1" customWidth="1"/>
    <col min="13" max="13" width="17.25" bestFit="1" customWidth="1"/>
    <col min="14" max="14" width="38.5" bestFit="1" customWidth="1"/>
  </cols>
  <sheetData>
    <row r="1" spans="1:26" ht="32.25" customHeight="1" x14ac:dyDescent="0.2">
      <c r="A1" s="32" t="s">
        <v>100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6"/>
      <c r="N1" s="6"/>
    </row>
    <row r="2" spans="1:26" ht="14.25" customHeight="1" x14ac:dyDescent="0.2">
      <c r="A2" s="1" t="s">
        <v>1</v>
      </c>
      <c r="B2" s="1" t="s">
        <v>0</v>
      </c>
      <c r="C2" s="1" t="s">
        <v>2</v>
      </c>
      <c r="D2" s="1" t="s">
        <v>77</v>
      </c>
      <c r="E2" s="1" t="s">
        <v>4</v>
      </c>
      <c r="F2" s="1" t="s">
        <v>5</v>
      </c>
      <c r="G2" s="1" t="s">
        <v>74</v>
      </c>
      <c r="H2" s="1" t="s">
        <v>6</v>
      </c>
      <c r="I2" s="1" t="s">
        <v>7</v>
      </c>
      <c r="J2" s="1" t="s">
        <v>8</v>
      </c>
      <c r="K2" s="1" t="s">
        <v>12</v>
      </c>
      <c r="L2" s="1" t="s">
        <v>46</v>
      </c>
      <c r="M2" s="1" t="s">
        <v>43</v>
      </c>
      <c r="N2" s="1" t="s">
        <v>59</v>
      </c>
      <c r="O2" s="23" t="s">
        <v>10</v>
      </c>
      <c r="P2" s="24"/>
      <c r="Q2" s="24"/>
      <c r="R2" s="24"/>
      <c r="S2" s="19" t="s">
        <v>11</v>
      </c>
      <c r="T2" s="27"/>
      <c r="U2" s="27"/>
      <c r="V2" s="27"/>
      <c r="W2" s="19" t="s">
        <v>99</v>
      </c>
      <c r="X2" s="27"/>
      <c r="Y2" s="27"/>
      <c r="Z2" s="27"/>
    </row>
    <row r="3" spans="1:26" x14ac:dyDescent="0.2">
      <c r="A3" s="1">
        <v>1</v>
      </c>
      <c r="B3" s="9">
        <v>40</v>
      </c>
      <c r="C3" s="9" t="s">
        <v>3</v>
      </c>
      <c r="D3" s="9" t="s">
        <v>78</v>
      </c>
      <c r="E3" s="9">
        <v>8</v>
      </c>
      <c r="F3" s="9" t="s">
        <v>19</v>
      </c>
      <c r="G3" s="9" t="s">
        <v>75</v>
      </c>
      <c r="H3" s="9" t="s">
        <v>69</v>
      </c>
      <c r="I3" s="9">
        <v>0.3</v>
      </c>
      <c r="J3" s="9" t="s">
        <v>9</v>
      </c>
      <c r="K3" s="1" t="s">
        <v>13</v>
      </c>
      <c r="L3" s="9" t="s">
        <v>45</v>
      </c>
      <c r="M3" s="1" t="s">
        <v>58</v>
      </c>
      <c r="N3" s="1" t="s">
        <v>65</v>
      </c>
      <c r="O3" s="25"/>
      <c r="P3" s="26"/>
      <c r="Q3" s="26"/>
      <c r="R3" s="26"/>
      <c r="S3" s="27"/>
      <c r="T3" s="27"/>
      <c r="U3" s="27"/>
      <c r="V3" s="27"/>
      <c r="W3" s="27"/>
      <c r="X3" s="27"/>
      <c r="Y3" s="27"/>
      <c r="Z3" s="27"/>
    </row>
    <row r="4" spans="1:26" x14ac:dyDescent="0.2">
      <c r="A4" s="1" t="s">
        <v>14</v>
      </c>
      <c r="B4" s="9" t="s">
        <v>71</v>
      </c>
      <c r="C4" s="9" t="s">
        <v>81</v>
      </c>
      <c r="D4" s="9" t="s">
        <v>79</v>
      </c>
      <c r="E4" s="9" t="s">
        <v>83</v>
      </c>
      <c r="F4" s="9" t="s">
        <v>85</v>
      </c>
      <c r="G4" s="9" t="s">
        <v>75</v>
      </c>
      <c r="H4" s="9" t="s">
        <v>76</v>
      </c>
      <c r="I4" s="9" t="s">
        <v>89</v>
      </c>
      <c r="J4" s="9" t="s">
        <v>9</v>
      </c>
      <c r="K4" s="1" t="s">
        <v>73</v>
      </c>
      <c r="L4" s="9" t="s">
        <v>47</v>
      </c>
      <c r="M4" s="1" t="s">
        <v>63</v>
      </c>
      <c r="N4" s="1" t="s">
        <v>64</v>
      </c>
      <c r="O4" s="25"/>
      <c r="P4" s="26"/>
      <c r="Q4" s="26"/>
      <c r="R4" s="26"/>
      <c r="S4" s="27"/>
      <c r="T4" s="27"/>
      <c r="U4" s="27"/>
      <c r="V4" s="27"/>
      <c r="W4" s="27"/>
      <c r="X4" s="27"/>
      <c r="Y4" s="27"/>
      <c r="Z4" s="27"/>
    </row>
    <row r="5" spans="1:26" x14ac:dyDescent="0.2">
      <c r="A5" s="1" t="s">
        <v>15</v>
      </c>
      <c r="B5" s="1" t="s">
        <v>86</v>
      </c>
      <c r="C5" s="1" t="s">
        <v>82</v>
      </c>
      <c r="D5" s="1" t="s">
        <v>68</v>
      </c>
      <c r="E5" s="1" t="s">
        <v>84</v>
      </c>
      <c r="F5" s="1" t="s">
        <v>93</v>
      </c>
      <c r="G5" s="1" t="s">
        <v>75</v>
      </c>
      <c r="H5" s="1" t="s">
        <v>87</v>
      </c>
      <c r="I5" s="1" t="s">
        <v>72</v>
      </c>
      <c r="J5" s="9" t="s">
        <v>9</v>
      </c>
      <c r="K5" s="1" t="s">
        <v>70</v>
      </c>
      <c r="L5" s="1" t="s">
        <v>92</v>
      </c>
      <c r="M5" s="1" t="s">
        <v>62</v>
      </c>
      <c r="N5" s="7" t="s">
        <v>67</v>
      </c>
      <c r="O5" s="25"/>
      <c r="P5" s="26"/>
      <c r="Q5" s="26"/>
      <c r="R5" s="26"/>
      <c r="S5" s="27"/>
      <c r="T5" s="27"/>
      <c r="U5" s="27"/>
      <c r="V5" s="27"/>
      <c r="W5" s="27"/>
      <c r="X5" s="27"/>
      <c r="Y5" s="27"/>
      <c r="Z5" s="27"/>
    </row>
    <row r="6" spans="1:26" x14ac:dyDescent="0.2">
      <c r="A6" s="7" t="s">
        <v>16</v>
      </c>
      <c r="B6" s="7"/>
      <c r="C6" s="7"/>
      <c r="D6" s="7"/>
      <c r="E6" s="7"/>
      <c r="F6" s="7"/>
      <c r="G6" s="7"/>
      <c r="H6" s="7" t="s">
        <v>88</v>
      </c>
      <c r="I6" s="7"/>
      <c r="J6" s="7"/>
      <c r="K6" s="7"/>
      <c r="L6" s="8" t="s">
        <v>90</v>
      </c>
      <c r="M6" s="33" t="s">
        <v>61</v>
      </c>
      <c r="N6" s="7" t="s">
        <v>66</v>
      </c>
      <c r="O6" s="25"/>
      <c r="P6" s="26"/>
      <c r="Q6" s="26"/>
      <c r="R6" s="26"/>
      <c r="S6" s="27"/>
      <c r="T6" s="27"/>
      <c r="U6" s="27"/>
      <c r="V6" s="27"/>
      <c r="W6" s="27"/>
      <c r="X6" s="27"/>
      <c r="Y6" s="27"/>
      <c r="Z6" s="27"/>
    </row>
    <row r="7" spans="1:26" x14ac:dyDescent="0.2">
      <c r="A7" s="7" t="s">
        <v>17</v>
      </c>
      <c r="B7" s="7"/>
      <c r="C7" s="7"/>
      <c r="D7" s="7"/>
      <c r="E7" s="7"/>
      <c r="F7" s="7"/>
      <c r="G7" s="7"/>
      <c r="H7" s="7"/>
      <c r="I7" s="7"/>
      <c r="J7" s="7"/>
      <c r="K7" s="7"/>
      <c r="L7" s="7" t="s">
        <v>91</v>
      </c>
      <c r="M7" s="34"/>
      <c r="N7" s="7" t="s">
        <v>94</v>
      </c>
      <c r="O7" s="25"/>
      <c r="P7" s="26"/>
      <c r="Q7" s="26"/>
      <c r="R7" s="26"/>
      <c r="S7" s="27"/>
      <c r="T7" s="27"/>
      <c r="U7" s="27"/>
      <c r="V7" s="27"/>
      <c r="W7" s="27"/>
      <c r="X7" s="27"/>
      <c r="Y7" s="27"/>
      <c r="Z7" s="27"/>
    </row>
    <row r="8" spans="1:26" x14ac:dyDescent="0.2">
      <c r="A8" s="7" t="s">
        <v>18</v>
      </c>
      <c r="B8" s="7"/>
      <c r="C8" s="7"/>
      <c r="D8" s="7"/>
      <c r="E8" s="7"/>
      <c r="F8" s="7"/>
      <c r="G8" s="7"/>
      <c r="H8" s="7"/>
      <c r="I8" s="7"/>
      <c r="J8" s="7"/>
      <c r="K8" s="7"/>
      <c r="L8" s="8" t="s">
        <v>80</v>
      </c>
      <c r="M8" s="7" t="s">
        <v>60</v>
      </c>
      <c r="N8" s="7"/>
      <c r="O8" s="25"/>
      <c r="P8" s="26"/>
      <c r="Q8" s="26"/>
      <c r="R8" s="26"/>
      <c r="S8" s="27"/>
      <c r="T8" s="27"/>
      <c r="U8" s="27"/>
      <c r="V8" s="27"/>
      <c r="W8" s="27"/>
      <c r="X8" s="27"/>
      <c r="Y8" s="27"/>
      <c r="Z8" s="27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25"/>
      <c r="P9" s="26"/>
      <c r="Q9" s="26"/>
      <c r="R9" s="26"/>
      <c r="S9" s="27"/>
      <c r="T9" s="27"/>
      <c r="U9" s="27"/>
      <c r="V9" s="27"/>
      <c r="W9" s="27"/>
      <c r="X9" s="27"/>
      <c r="Y9" s="27"/>
      <c r="Z9" s="27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25"/>
      <c r="P10" s="26"/>
      <c r="Q10" s="26"/>
      <c r="R10" s="26"/>
      <c r="S10" s="27"/>
      <c r="T10" s="27"/>
      <c r="U10" s="27"/>
      <c r="V10" s="27"/>
      <c r="W10" s="27"/>
      <c r="X10" s="27"/>
      <c r="Y10" s="27"/>
      <c r="Z10" s="27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25"/>
      <c r="P11" s="26"/>
      <c r="Q11" s="26"/>
      <c r="R11" s="26"/>
      <c r="S11" s="27"/>
      <c r="T11" s="27"/>
      <c r="U11" s="27"/>
      <c r="V11" s="27"/>
      <c r="W11" s="27"/>
      <c r="X11" s="27"/>
      <c r="Y11" s="27"/>
      <c r="Z11" s="27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5"/>
      <c r="P12" s="26"/>
      <c r="Q12" s="26"/>
      <c r="R12" s="26"/>
      <c r="S12" s="27"/>
      <c r="T12" s="27"/>
      <c r="U12" s="27"/>
      <c r="V12" s="27"/>
      <c r="W12" s="27"/>
      <c r="X12" s="27"/>
      <c r="Y12" s="27"/>
      <c r="Z12" s="27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5"/>
      <c r="P13" s="26"/>
      <c r="Q13" s="26"/>
      <c r="R13" s="26"/>
      <c r="S13" s="27"/>
      <c r="T13" s="27"/>
      <c r="U13" s="27"/>
      <c r="V13" s="27"/>
      <c r="W13" s="27"/>
      <c r="X13" s="27"/>
      <c r="Y13" s="27"/>
      <c r="Z13" s="27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5"/>
      <c r="P14" s="26"/>
      <c r="Q14" s="26"/>
      <c r="R14" s="26"/>
      <c r="S14" s="27"/>
      <c r="T14" s="27"/>
      <c r="U14" s="27"/>
      <c r="V14" s="27"/>
      <c r="W14" s="27"/>
      <c r="X14" s="27"/>
      <c r="Y14" s="27"/>
      <c r="Z14" s="27"/>
    </row>
  </sheetData>
  <mergeCells count="5">
    <mergeCell ref="O2:R14"/>
    <mergeCell ref="S2:V14"/>
    <mergeCell ref="W2:Z14"/>
    <mergeCell ref="A1:L1"/>
    <mergeCell ref="M6:M7"/>
  </mergeCells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第二版</vt:lpstr>
      <vt:lpstr>伤害统计</vt:lpstr>
      <vt:lpstr>战斗力</vt:lpstr>
      <vt:lpstr>第一版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PE_commander</dc:creator>
  <cp:lastModifiedBy>莲子 宇佐见</cp:lastModifiedBy>
  <dcterms:created xsi:type="dcterms:W3CDTF">2015-06-05T18:19:34Z</dcterms:created>
  <dcterms:modified xsi:type="dcterms:W3CDTF">2024-02-13T13:29:18Z</dcterms:modified>
</cp:coreProperties>
</file>